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er-PC\Documents\"/>
    </mc:Choice>
  </mc:AlternateContent>
  <bookViews>
    <workbookView xWindow="0" yWindow="0" windowWidth="12495" windowHeight="12015" activeTab="2"/>
  </bookViews>
  <sheets>
    <sheet name="Sheet1" sheetId="1" r:id="rId1"/>
    <sheet name="Sheet2" sheetId="2" r:id="rId2"/>
    <sheet name="Sheet3" sheetId="3" r:id="rId3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1" i="3" l="1"/>
  <c r="E23" i="3"/>
  <c r="F22" i="3"/>
  <c r="F21" i="3"/>
  <c r="F23" i="3"/>
  <c r="E22" i="3"/>
  <c r="F20" i="3"/>
  <c r="E20" i="3"/>
  <c r="F11" i="3"/>
  <c r="F12" i="3"/>
  <c r="F13" i="3"/>
  <c r="F10" i="3"/>
  <c r="F14" i="3"/>
  <c r="F15" i="3"/>
  <c r="F16" i="3"/>
  <c r="E13" i="3"/>
  <c r="E10" i="3"/>
  <c r="E14" i="3"/>
  <c r="E11" i="3"/>
  <c r="E15" i="3"/>
  <c r="E12" i="3"/>
  <c r="E16" i="3"/>
  <c r="F9" i="3"/>
  <c r="F8" i="3"/>
  <c r="E9" i="3"/>
  <c r="E8" i="3"/>
  <c r="E7" i="3"/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" i="1"/>
  <c r="E35" i="2"/>
  <c r="E12" i="2"/>
  <c r="E28" i="2"/>
  <c r="E31" i="2"/>
  <c r="E17" i="2"/>
  <c r="E15" i="2"/>
  <c r="E14" i="2"/>
  <c r="E30" i="2"/>
  <c r="D8" i="2"/>
  <c r="D24" i="2"/>
  <c r="D9" i="2"/>
  <c r="D25" i="2"/>
  <c r="D14" i="2"/>
  <c r="D30" i="2"/>
  <c r="D19" i="2"/>
  <c r="E3" i="2"/>
  <c r="E8" i="2"/>
  <c r="E13" i="2"/>
  <c r="E10" i="2"/>
  <c r="D20" i="2"/>
  <c r="D21" i="2"/>
  <c r="D10" i="2"/>
  <c r="D31" i="2"/>
  <c r="D35" i="2"/>
  <c r="E16" i="2"/>
  <c r="E32" i="2"/>
  <c r="E5" i="2"/>
  <c r="E21" i="2"/>
  <c r="E27" i="2"/>
  <c r="E18" i="2"/>
  <c r="E7" i="2"/>
  <c r="D12" i="2"/>
  <c r="D28" i="2"/>
  <c r="D13" i="2"/>
  <c r="D29" i="2"/>
  <c r="D18" i="2"/>
  <c r="D7" i="2"/>
  <c r="D23" i="2"/>
  <c r="D3" i="2"/>
  <c r="E24" i="2"/>
  <c r="D4" i="2"/>
  <c r="D26" i="2"/>
  <c r="D36" i="2"/>
  <c r="E4" i="2"/>
  <c r="E20" i="2"/>
  <c r="E11" i="2"/>
  <c r="E9" i="2"/>
  <c r="E25" i="2"/>
  <c r="E6" i="2"/>
  <c r="E22" i="2"/>
  <c r="E19" i="2"/>
  <c r="D16" i="2"/>
  <c r="D32" i="2"/>
  <c r="D17" i="2"/>
  <c r="D6" i="2"/>
  <c r="D22" i="2"/>
  <c r="D11" i="2"/>
  <c r="D27" i="2"/>
  <c r="E36" i="2"/>
  <c r="E23" i="2"/>
  <c r="E29" i="2"/>
  <c r="E26" i="2"/>
  <c r="D5" i="2"/>
  <c r="D15" i="2"/>
  <c r="F4" i="3"/>
  <c r="F7" i="3"/>
  <c r="F5" i="3"/>
  <c r="F6" i="3"/>
  <c r="F3" i="3"/>
  <c r="E4" i="3"/>
  <c r="E6" i="3"/>
  <c r="E5" i="3"/>
  <c r="E3" i="3"/>
</calcChain>
</file>

<file path=xl/sharedStrings.xml><?xml version="1.0" encoding="utf-8"?>
<sst xmlns="http://schemas.openxmlformats.org/spreadsheetml/2006/main" count="157" uniqueCount="145">
  <si>
    <t>Turbine Number</t>
  </si>
  <si>
    <t>Elevation Above Sea Level (meter)</t>
  </si>
  <si>
    <t>Turbine</t>
  </si>
  <si>
    <t>Structure Maximum Heights Above Sea Level (meter)</t>
  </si>
  <si>
    <t>Latitude</t>
  </si>
  <si>
    <t>Longitude</t>
  </si>
  <si>
    <t>Met Tower</t>
  </si>
  <si>
    <t>number</t>
  </si>
  <si>
    <t>longitude</t>
  </si>
  <si>
    <t>latitude</t>
  </si>
  <si>
    <t>long</t>
  </si>
  <si>
    <t>lat</t>
  </si>
  <si>
    <t xml:space="preserve"> 119° 42' 52,00"</t>
  </si>
  <si>
    <t xml:space="preserve"> 3° 58' 33,50"</t>
  </si>
  <si>
    <t xml:space="preserve"> 3° 58' 42,84"</t>
  </si>
  <si>
    <t xml:space="preserve"> 119° 42' 48,59"</t>
  </si>
  <si>
    <t xml:space="preserve"> 3° 58' 50,53"</t>
  </si>
  <si>
    <t xml:space="preserve"> 119° 42' 45,28"</t>
  </si>
  <si>
    <t xml:space="preserve"> 3° 58' 59,03"</t>
  </si>
  <si>
    <t xml:space="preserve"> 119° 42' 41,94"</t>
  </si>
  <si>
    <t xml:space="preserve"> 3° 59' 6,75"</t>
  </si>
  <si>
    <t xml:space="preserve"> 119° 42' 41,38"</t>
  </si>
  <si>
    <t xml:space="preserve"> 3° 59' 14,40"</t>
  </si>
  <si>
    <t xml:space="preserve"> 119° 42' 39,53"</t>
  </si>
  <si>
    <t xml:space="preserve"> 3° 59' 22,70"</t>
  </si>
  <si>
    <t xml:space="preserve"> 119° 42' 37,67"</t>
  </si>
  <si>
    <t xml:space="preserve"> 3° 59' 29,90"</t>
  </si>
  <si>
    <t xml:space="preserve"> 119° 42' 37,73"</t>
  </si>
  <si>
    <t xml:space="preserve"> 3° 59' 37,67"</t>
  </si>
  <si>
    <t xml:space="preserve"> 119° 42' 37,14"</t>
  </si>
  <si>
    <t xml:space="preserve"> 3° 59' 45,42"</t>
  </si>
  <si>
    <t xml:space="preserve"> 119° 42' 33,18"</t>
  </si>
  <si>
    <t xml:space="preserve"> 3° 59' 53,01"</t>
  </si>
  <si>
    <t xml:space="preserve"> 119° 42' 28,15"</t>
  </si>
  <si>
    <t xml:space="preserve"> 4° 0' 1,81"</t>
  </si>
  <si>
    <t xml:space="preserve"> 119° 42' 27,63"</t>
  </si>
  <si>
    <t xml:space="preserve"> 3° 58' 40,51"</t>
  </si>
  <si>
    <t xml:space="preserve"> 119° 42' 23,60"</t>
  </si>
  <si>
    <t xml:space="preserve"> 3° 58' 47,59"</t>
  </si>
  <si>
    <t xml:space="preserve"> 119° 42' 21,59"</t>
  </si>
  <si>
    <t xml:space="preserve"> 3° 58' 54,88"</t>
  </si>
  <si>
    <t xml:space="preserve"> 119° 42' 19,08"</t>
  </si>
  <si>
    <t xml:space="preserve"> 3° 59' 2,37"</t>
  </si>
  <si>
    <t xml:space="preserve"> 119° 42' 19,21"</t>
  </si>
  <si>
    <t xml:space="preserve"> 3° 59' 10,05"</t>
  </si>
  <si>
    <t xml:space="preserve"> 119° 42' 17,25"</t>
  </si>
  <si>
    <t xml:space="preserve"> 3° 59' 17,41"</t>
  </si>
  <si>
    <t xml:space="preserve"> 119° 42' 5,76"</t>
  </si>
  <si>
    <t xml:space="preserve"> 3° 59' 28,60"</t>
  </si>
  <si>
    <t xml:space="preserve"> 119° 41' 57,82"</t>
  </si>
  <si>
    <t xml:space="preserve"> 3° 59' 38,88"</t>
  </si>
  <si>
    <t xml:space="preserve"> 119° 41' 55,87"</t>
  </si>
  <si>
    <t xml:space="preserve"> 3° 59' 46,07"</t>
  </si>
  <si>
    <t xml:space="preserve"> 119° 41' 54,73"</t>
  </si>
  <si>
    <t xml:space="preserve"> 3° 59' 53,63"</t>
  </si>
  <si>
    <t xml:space="preserve"> 119° 42' 32,62"</t>
  </si>
  <si>
    <t xml:space="preserve"> 3° 58' 10,76"</t>
  </si>
  <si>
    <t xml:space="preserve"> 119° 42' 39,46"</t>
  </si>
  <si>
    <t xml:space="preserve"> 3° 58' 2,71"</t>
  </si>
  <si>
    <t xml:space="preserve"> 119° 42' 43,42"</t>
  </si>
  <si>
    <t xml:space="preserve"> 3° 57' 55,96"</t>
  </si>
  <si>
    <t xml:space="preserve"> 119° 42' 50,72"</t>
  </si>
  <si>
    <t xml:space="preserve"> 3° 57' 47,61"</t>
  </si>
  <si>
    <t xml:space="preserve"> 119° 42' 52,41"</t>
  </si>
  <si>
    <t xml:space="preserve"> 3° 57' 40,22"</t>
  </si>
  <si>
    <t xml:space="preserve"> 119° 42' 55,53"</t>
  </si>
  <si>
    <t xml:space="preserve"> 3° 57' 32,98"</t>
  </si>
  <si>
    <t xml:space="preserve"> 119° 43' 0,40"</t>
  </si>
  <si>
    <t xml:space="preserve"> 3° 57' 26,92"</t>
  </si>
  <si>
    <t xml:space="preserve"> 119° 43' 13,04"</t>
  </si>
  <si>
    <t xml:space="preserve"> 3° 57' 18,71"</t>
  </si>
  <si>
    <t xml:space="preserve"> 119° 42' 23,64"</t>
  </si>
  <si>
    <t xml:space="preserve"> 4° 0' 8,07"</t>
  </si>
  <si>
    <t xml:space="preserve"> 119° 43' 6,77"</t>
  </si>
  <si>
    <t xml:space="preserve"> 3° 57' 23,19"</t>
  </si>
  <si>
    <t>Turbine Heights (meter)</t>
  </si>
  <si>
    <t>Met Tower Number</t>
  </si>
  <si>
    <t>Met Tower Heights (meter)</t>
  </si>
  <si>
    <t xml:space="preserve">Koordinatnya SAT PARE-PARE </t>
  </si>
  <si>
    <t>CABENGE</t>
  </si>
  <si>
    <t>name</t>
  </si>
  <si>
    <t>north</t>
  </si>
  <si>
    <t>south</t>
  </si>
  <si>
    <t>1.</t>
  </si>
  <si>
    <t>PAMPANUA</t>
  </si>
  <si>
    <t>LABOTO</t>
  </si>
  <si>
    <t>2.</t>
  </si>
  <si>
    <r>
      <t>3.</t>
    </r>
    <r>
      <rPr>
        <sz val="7"/>
        <color theme="1"/>
        <rFont val="Times New Roman"/>
        <family val="1"/>
      </rPr>
      <t/>
    </r>
  </si>
  <si>
    <t>DOPING</t>
  </si>
  <si>
    <t>AWATAE</t>
  </si>
  <si>
    <r>
      <t>5.</t>
    </r>
    <r>
      <rPr>
        <sz val="7"/>
        <color theme="1"/>
        <rFont val="Times New Roman"/>
        <family val="1"/>
      </rPr>
      <t/>
    </r>
  </si>
  <si>
    <r>
      <t>4.</t>
    </r>
    <r>
      <rPr>
        <sz val="7"/>
        <color theme="1"/>
        <rFont val="Times New Roman"/>
        <family val="1"/>
      </rPr>
      <t/>
    </r>
  </si>
  <si>
    <t xml:space="preserve">119° 58' 58'' </t>
  </si>
  <si>
    <t>04° 13' 32''</t>
  </si>
  <si>
    <t xml:space="preserve">120° 08' 56'' </t>
  </si>
  <si>
    <t>04° 13' 09''</t>
  </si>
  <si>
    <t>120° 21'17''</t>
  </si>
  <si>
    <t>120° 18' 00''</t>
  </si>
  <si>
    <t>04° 05' 17''</t>
  </si>
  <si>
    <t>04°19'57''</t>
  </si>
  <si>
    <t>04° 01' 00''</t>
  </si>
  <si>
    <t>120° 02' 30''</t>
  </si>
  <si>
    <t>6.</t>
  </si>
  <si>
    <t>SENGKANG</t>
  </si>
  <si>
    <t>PARE-PARE</t>
  </si>
  <si>
    <t>7.</t>
  </si>
  <si>
    <t>04° 09' 30''</t>
  </si>
  <si>
    <t>03° 58' 42''</t>
  </si>
  <si>
    <t>120° 02' 00''</t>
  </si>
  <si>
    <t>119° 39' 59''</t>
  </si>
  <si>
    <t>8.</t>
  </si>
  <si>
    <t>IP</t>
  </si>
  <si>
    <t>04° 01' 43''</t>
  </si>
  <si>
    <t>119° 38' 59''</t>
  </si>
  <si>
    <t>TARGET</t>
  </si>
  <si>
    <t>03° 56' 42''</t>
  </si>
  <si>
    <t>119° 50' 26''</t>
  </si>
  <si>
    <t>9.</t>
  </si>
  <si>
    <t>CABE</t>
  </si>
  <si>
    <t>MASEPE</t>
  </si>
  <si>
    <t>TANJUNG</t>
  </si>
  <si>
    <t>PALANTRO</t>
  </si>
  <si>
    <t>10.</t>
  </si>
  <si>
    <t>11.</t>
  </si>
  <si>
    <t>12.</t>
  </si>
  <si>
    <t>13.</t>
  </si>
  <si>
    <t>14.</t>
  </si>
  <si>
    <t>04° 20' 12''</t>
  </si>
  <si>
    <t>04° 02' 36''</t>
  </si>
  <si>
    <t>04° 12' 25''</t>
  </si>
  <si>
    <t>04° 28' 00''</t>
  </si>
  <si>
    <t>119° 58' 48''</t>
  </si>
  <si>
    <t>119° 48' 48''</t>
  </si>
  <si>
    <t>119° 35' 30''</t>
  </si>
  <si>
    <t>119° 37' 12''</t>
  </si>
  <si>
    <t>119° 36' 30''</t>
  </si>
  <si>
    <t>conserv agency titik ikat</t>
  </si>
  <si>
    <t>119° 42' 00''</t>
  </si>
  <si>
    <t>119° 43' 00''</t>
  </si>
  <si>
    <t>A</t>
  </si>
  <si>
    <t>B</t>
  </si>
  <si>
    <t>C</t>
  </si>
  <si>
    <t>D</t>
  </si>
  <si>
    <t>03° 59' 00''</t>
  </si>
  <si>
    <t>03° 59' 30''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</si>
</sst>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00000"/>
  </numFmts>
  <fonts count="6" x14ac:knownFonts="1">
    <font>
      <sz val="11"/>
      <color theme="1"/>
      <name val="Calibri"/>
      <family val="2"/>
      <charset val="1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164" fontId="0" fillId="0" borderId="0" xfId="0" applyNumberFormat="1"/>
    <xf numFmtId="0" fontId="0" fillId="0" borderId="1" xfId="0" applyBorder="1"/>
    <xf numFmtId="0" fontId="2" fillId="0" borderId="1" xfId="0" applyFont="1" applyBorder="1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left" vertical="center" indent="5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7"/>
  <sheetViews>
    <sheetView topLeftCell="A51" workbookViewId="0">
      <selection activeCell="M34" sqref="M34"/>
    </sheetView>
  </sheetViews>
  <sheetFormatPr defaultRowHeight="15" x14ac:dyDescent="0.25"/>
  <cols>
    <col min="4" max="4" width="14.42578125" bestFit="1" customWidth="1"/>
    <col min="5" max="5" width="11.85546875" bestFit="1" customWidth="1"/>
    <col min="6" max="6" width="14" bestFit="1" customWidth="1"/>
  </cols>
  <sheetData>
    <row r="1" spans="1:6" ht="44.25" customHeight="1" x14ac:dyDescent="0.25">
      <c r="A1" s="9" t="s">
        <v>0</v>
      </c>
      <c r="B1" s="9" t="s">
        <v>1</v>
      </c>
      <c r="C1" s="9" t="s">
        <v>75</v>
      </c>
      <c r="D1" s="9" t="s">
        <v>3</v>
      </c>
      <c r="E1" s="8" t="s">
        <v>4</v>
      </c>
      <c r="F1" s="8" t="s">
        <v>5</v>
      </c>
    </row>
    <row r="2" spans="1:6" x14ac:dyDescent="0.25">
      <c r="A2" s="9"/>
      <c r="B2" s="9"/>
      <c r="C2" s="9"/>
      <c r="D2" s="9"/>
      <c r="E2" s="8"/>
      <c r="F2" s="8"/>
    </row>
    <row r="3" spans="1:6" x14ac:dyDescent="0.25">
      <c r="A3" s="3">
        <v>1</v>
      </c>
      <c r="B3" s="3">
        <v>240</v>
      </c>
      <c r="C3" s="3">
        <v>137</v>
      </c>
      <c r="D3" s="3">
        <f>B3+C3</f>
        <v>377</v>
      </c>
      <c r="E3" s="2" t="s">
        <v>13</v>
      </c>
      <c r="F3" s="2" t="s">
        <v>12</v>
      </c>
    </row>
    <row r="4" spans="1:6" x14ac:dyDescent="0.25">
      <c r="A4" s="3">
        <v>2</v>
      </c>
      <c r="B4" s="3">
        <v>245</v>
      </c>
      <c r="C4" s="3">
        <v>137</v>
      </c>
      <c r="D4" s="3">
        <f t="shared" ref="D4:D32" si="0">B4+C4</f>
        <v>382</v>
      </c>
      <c r="E4" s="2" t="s">
        <v>14</v>
      </c>
      <c r="F4" s="2" t="s">
        <v>12</v>
      </c>
    </row>
    <row r="5" spans="1:6" x14ac:dyDescent="0.25">
      <c r="A5" s="3">
        <v>3</v>
      </c>
      <c r="B5" s="3">
        <v>235</v>
      </c>
      <c r="C5" s="3">
        <v>137</v>
      </c>
      <c r="D5" s="3">
        <f t="shared" si="0"/>
        <v>372</v>
      </c>
      <c r="E5" s="2" t="s">
        <v>16</v>
      </c>
      <c r="F5" s="2" t="s">
        <v>15</v>
      </c>
    </row>
    <row r="6" spans="1:6" x14ac:dyDescent="0.25">
      <c r="A6" s="3">
        <v>4</v>
      </c>
      <c r="B6" s="3">
        <v>303</v>
      </c>
      <c r="C6" s="3">
        <v>137</v>
      </c>
      <c r="D6" s="3">
        <f t="shared" si="0"/>
        <v>440</v>
      </c>
      <c r="E6" s="2" t="s">
        <v>18</v>
      </c>
      <c r="F6" s="2" t="s">
        <v>17</v>
      </c>
    </row>
    <row r="7" spans="1:6" x14ac:dyDescent="0.25">
      <c r="A7" s="3">
        <v>5</v>
      </c>
      <c r="B7" s="3">
        <v>280</v>
      </c>
      <c r="C7" s="3">
        <v>137</v>
      </c>
      <c r="D7" s="3">
        <f t="shared" si="0"/>
        <v>417</v>
      </c>
      <c r="E7" s="2" t="s">
        <v>20</v>
      </c>
      <c r="F7" s="2" t="s">
        <v>19</v>
      </c>
    </row>
    <row r="8" spans="1:6" x14ac:dyDescent="0.25">
      <c r="A8" s="3">
        <v>6</v>
      </c>
      <c r="B8" s="3">
        <v>280</v>
      </c>
      <c r="C8" s="3">
        <v>137</v>
      </c>
      <c r="D8" s="3">
        <f t="shared" si="0"/>
        <v>417</v>
      </c>
      <c r="E8" s="2" t="s">
        <v>22</v>
      </c>
      <c r="F8" s="2" t="s">
        <v>21</v>
      </c>
    </row>
    <row r="9" spans="1:6" x14ac:dyDescent="0.25">
      <c r="A9" s="3">
        <v>7</v>
      </c>
      <c r="B9" s="3">
        <v>305</v>
      </c>
      <c r="C9" s="3">
        <v>137</v>
      </c>
      <c r="D9" s="3">
        <f t="shared" si="0"/>
        <v>442</v>
      </c>
      <c r="E9" s="2" t="s">
        <v>24</v>
      </c>
      <c r="F9" s="2" t="s">
        <v>23</v>
      </c>
    </row>
    <row r="10" spans="1:6" x14ac:dyDescent="0.25">
      <c r="A10" s="3">
        <v>8</v>
      </c>
      <c r="B10" s="3">
        <v>320</v>
      </c>
      <c r="C10" s="3">
        <v>137</v>
      </c>
      <c r="D10" s="3">
        <f t="shared" si="0"/>
        <v>457</v>
      </c>
      <c r="E10" s="2" t="s">
        <v>26</v>
      </c>
      <c r="F10" s="2" t="s">
        <v>25</v>
      </c>
    </row>
    <row r="11" spans="1:6" x14ac:dyDescent="0.25">
      <c r="A11" s="3">
        <v>9</v>
      </c>
      <c r="B11" s="3">
        <v>305</v>
      </c>
      <c r="C11" s="3">
        <v>137</v>
      </c>
      <c r="D11" s="3">
        <f t="shared" si="0"/>
        <v>442</v>
      </c>
      <c r="E11" s="2" t="s">
        <v>28</v>
      </c>
      <c r="F11" s="2" t="s">
        <v>27</v>
      </c>
    </row>
    <row r="12" spans="1:6" x14ac:dyDescent="0.25">
      <c r="A12" s="3">
        <v>10</v>
      </c>
      <c r="B12" s="3">
        <v>285</v>
      </c>
      <c r="C12" s="3">
        <v>137</v>
      </c>
      <c r="D12" s="3">
        <f t="shared" si="0"/>
        <v>422</v>
      </c>
      <c r="E12" s="2" t="s">
        <v>30</v>
      </c>
      <c r="F12" s="2" t="s">
        <v>29</v>
      </c>
    </row>
    <row r="13" spans="1:6" x14ac:dyDescent="0.25">
      <c r="A13" s="3">
        <v>11</v>
      </c>
      <c r="B13" s="3">
        <v>275</v>
      </c>
      <c r="C13" s="3">
        <v>137</v>
      </c>
      <c r="D13" s="3">
        <f t="shared" si="0"/>
        <v>412</v>
      </c>
      <c r="E13" s="2" t="s">
        <v>32</v>
      </c>
      <c r="F13" s="2" t="s">
        <v>31</v>
      </c>
    </row>
    <row r="14" spans="1:6" x14ac:dyDescent="0.25">
      <c r="A14" s="3">
        <v>12</v>
      </c>
      <c r="B14" s="3">
        <v>255</v>
      </c>
      <c r="C14" s="3">
        <v>137</v>
      </c>
      <c r="D14" s="3">
        <f t="shared" si="0"/>
        <v>392</v>
      </c>
      <c r="E14" s="2" t="s">
        <v>34</v>
      </c>
      <c r="F14" s="2" t="s">
        <v>33</v>
      </c>
    </row>
    <row r="15" spans="1:6" x14ac:dyDescent="0.25">
      <c r="A15" s="3">
        <v>13</v>
      </c>
      <c r="B15" s="3">
        <v>275</v>
      </c>
      <c r="C15" s="3">
        <v>137</v>
      </c>
      <c r="D15" s="3">
        <f t="shared" si="0"/>
        <v>412</v>
      </c>
      <c r="E15" s="2" t="s">
        <v>36</v>
      </c>
      <c r="F15" s="2" t="s">
        <v>35</v>
      </c>
    </row>
    <row r="16" spans="1:6" x14ac:dyDescent="0.25">
      <c r="A16" s="3">
        <v>14</v>
      </c>
      <c r="B16" s="3">
        <v>295</v>
      </c>
      <c r="C16" s="3">
        <v>137</v>
      </c>
      <c r="D16" s="3">
        <f t="shared" si="0"/>
        <v>432</v>
      </c>
      <c r="E16" s="2" t="s">
        <v>38</v>
      </c>
      <c r="F16" s="2" t="s">
        <v>37</v>
      </c>
    </row>
    <row r="17" spans="1:6" x14ac:dyDescent="0.25">
      <c r="A17" s="3">
        <v>15</v>
      </c>
      <c r="B17" s="3">
        <v>295</v>
      </c>
      <c r="C17" s="3">
        <v>137</v>
      </c>
      <c r="D17" s="3">
        <f t="shared" si="0"/>
        <v>432</v>
      </c>
      <c r="E17" s="2" t="s">
        <v>40</v>
      </c>
      <c r="F17" s="2" t="s">
        <v>39</v>
      </c>
    </row>
    <row r="18" spans="1:6" x14ac:dyDescent="0.25">
      <c r="A18" s="3">
        <v>16</v>
      </c>
      <c r="B18" s="3">
        <v>185</v>
      </c>
      <c r="C18" s="3">
        <v>137</v>
      </c>
      <c r="D18" s="3">
        <f t="shared" si="0"/>
        <v>322</v>
      </c>
      <c r="E18" s="2" t="s">
        <v>42</v>
      </c>
      <c r="F18" s="2" t="s">
        <v>41</v>
      </c>
    </row>
    <row r="19" spans="1:6" x14ac:dyDescent="0.25">
      <c r="A19" s="3">
        <v>17</v>
      </c>
      <c r="B19" s="3">
        <v>295</v>
      </c>
      <c r="C19" s="3">
        <v>137</v>
      </c>
      <c r="D19" s="3">
        <f t="shared" si="0"/>
        <v>432</v>
      </c>
      <c r="E19" s="2" t="s">
        <v>44</v>
      </c>
      <c r="F19" s="2" t="s">
        <v>43</v>
      </c>
    </row>
    <row r="20" spans="1:6" x14ac:dyDescent="0.25">
      <c r="A20" s="3">
        <v>18</v>
      </c>
      <c r="B20" s="3">
        <v>270</v>
      </c>
      <c r="C20" s="3">
        <v>137</v>
      </c>
      <c r="D20" s="3">
        <f t="shared" si="0"/>
        <v>407</v>
      </c>
      <c r="E20" s="2" t="s">
        <v>46</v>
      </c>
      <c r="F20" s="2" t="s">
        <v>45</v>
      </c>
    </row>
    <row r="21" spans="1:6" x14ac:dyDescent="0.25">
      <c r="A21" s="3">
        <v>19</v>
      </c>
      <c r="B21" s="3">
        <v>270</v>
      </c>
      <c r="C21" s="3">
        <v>137</v>
      </c>
      <c r="D21" s="3">
        <f t="shared" si="0"/>
        <v>407</v>
      </c>
      <c r="E21" s="2" t="s">
        <v>48</v>
      </c>
      <c r="F21" s="2" t="s">
        <v>47</v>
      </c>
    </row>
    <row r="22" spans="1:6" x14ac:dyDescent="0.25">
      <c r="A22" s="3">
        <v>20</v>
      </c>
      <c r="B22" s="3">
        <v>265</v>
      </c>
      <c r="C22" s="3">
        <v>137</v>
      </c>
      <c r="D22" s="3">
        <f t="shared" si="0"/>
        <v>402</v>
      </c>
      <c r="E22" s="2" t="s">
        <v>50</v>
      </c>
      <c r="F22" s="2" t="s">
        <v>49</v>
      </c>
    </row>
    <row r="23" spans="1:6" x14ac:dyDescent="0.25">
      <c r="A23" s="3">
        <v>21</v>
      </c>
      <c r="B23" s="3">
        <v>270</v>
      </c>
      <c r="C23" s="3">
        <v>137</v>
      </c>
      <c r="D23" s="3">
        <f t="shared" si="0"/>
        <v>407</v>
      </c>
      <c r="E23" s="2" t="s">
        <v>52</v>
      </c>
      <c r="F23" s="2" t="s">
        <v>51</v>
      </c>
    </row>
    <row r="24" spans="1:6" x14ac:dyDescent="0.25">
      <c r="A24" s="3">
        <v>22</v>
      </c>
      <c r="B24" s="3">
        <v>245</v>
      </c>
      <c r="C24" s="3">
        <v>137</v>
      </c>
      <c r="D24" s="3">
        <f t="shared" si="0"/>
        <v>382</v>
      </c>
      <c r="E24" s="2" t="s">
        <v>54</v>
      </c>
      <c r="F24" s="2" t="s">
        <v>53</v>
      </c>
    </row>
    <row r="25" spans="1:6" x14ac:dyDescent="0.25">
      <c r="A25" s="3">
        <v>23</v>
      </c>
      <c r="B25" s="3">
        <v>250</v>
      </c>
      <c r="C25" s="3">
        <v>137</v>
      </c>
      <c r="D25" s="3">
        <f t="shared" si="0"/>
        <v>387</v>
      </c>
      <c r="E25" s="2" t="s">
        <v>56</v>
      </c>
      <c r="F25" s="2" t="s">
        <v>55</v>
      </c>
    </row>
    <row r="26" spans="1:6" x14ac:dyDescent="0.25">
      <c r="A26" s="3">
        <v>24</v>
      </c>
      <c r="B26" s="3">
        <v>275</v>
      </c>
      <c r="C26" s="3">
        <v>137</v>
      </c>
      <c r="D26" s="3">
        <f t="shared" si="0"/>
        <v>412</v>
      </c>
      <c r="E26" s="2" t="s">
        <v>58</v>
      </c>
      <c r="F26" s="2" t="s">
        <v>57</v>
      </c>
    </row>
    <row r="27" spans="1:6" x14ac:dyDescent="0.25">
      <c r="A27" s="3">
        <v>25</v>
      </c>
      <c r="B27" s="3">
        <v>253</v>
      </c>
      <c r="C27" s="3">
        <v>137</v>
      </c>
      <c r="D27" s="3">
        <f t="shared" si="0"/>
        <v>390</v>
      </c>
      <c r="E27" s="2" t="s">
        <v>60</v>
      </c>
      <c r="F27" s="2" t="s">
        <v>59</v>
      </c>
    </row>
    <row r="28" spans="1:6" x14ac:dyDescent="0.25">
      <c r="A28" s="3">
        <v>26</v>
      </c>
      <c r="B28" s="3">
        <v>290</v>
      </c>
      <c r="C28" s="3">
        <v>137</v>
      </c>
      <c r="D28" s="3">
        <f t="shared" si="0"/>
        <v>427</v>
      </c>
      <c r="E28" s="2" t="s">
        <v>62</v>
      </c>
      <c r="F28" s="2" t="s">
        <v>61</v>
      </c>
    </row>
    <row r="29" spans="1:6" x14ac:dyDescent="0.25">
      <c r="A29" s="3">
        <v>27</v>
      </c>
      <c r="B29" s="3">
        <v>253</v>
      </c>
      <c r="C29" s="3">
        <v>137</v>
      </c>
      <c r="D29" s="3">
        <f t="shared" si="0"/>
        <v>390</v>
      </c>
      <c r="E29" s="2" t="s">
        <v>64</v>
      </c>
      <c r="F29" s="2" t="s">
        <v>63</v>
      </c>
    </row>
    <row r="30" spans="1:6" x14ac:dyDescent="0.25">
      <c r="A30" s="3">
        <v>28</v>
      </c>
      <c r="B30" s="3">
        <v>305</v>
      </c>
      <c r="C30" s="3">
        <v>137</v>
      </c>
      <c r="D30" s="3">
        <f t="shared" si="0"/>
        <v>442</v>
      </c>
      <c r="E30" s="2" t="s">
        <v>66</v>
      </c>
      <c r="F30" s="2" t="s">
        <v>65</v>
      </c>
    </row>
    <row r="31" spans="1:6" x14ac:dyDescent="0.25">
      <c r="A31" s="3">
        <v>29</v>
      </c>
      <c r="B31" s="3">
        <v>310</v>
      </c>
      <c r="C31" s="3">
        <v>137</v>
      </c>
      <c r="D31" s="3">
        <f t="shared" si="0"/>
        <v>447</v>
      </c>
      <c r="E31" s="2" t="s">
        <v>68</v>
      </c>
      <c r="F31" s="2" t="s">
        <v>67</v>
      </c>
    </row>
    <row r="32" spans="1:6" x14ac:dyDescent="0.25">
      <c r="A32" s="3">
        <v>30</v>
      </c>
      <c r="B32" s="3">
        <v>300</v>
      </c>
      <c r="C32" s="3">
        <v>137</v>
      </c>
      <c r="D32" s="3">
        <f t="shared" si="0"/>
        <v>437</v>
      </c>
      <c r="E32" s="2" t="s">
        <v>70</v>
      </c>
      <c r="F32" s="2" t="s">
        <v>69</v>
      </c>
    </row>
    <row r="34" spans="1:6" ht="21.75" customHeight="1" x14ac:dyDescent="0.25">
      <c r="A34" s="9" t="s">
        <v>76</v>
      </c>
      <c r="B34" s="9" t="s">
        <v>1</v>
      </c>
      <c r="C34" s="9" t="s">
        <v>77</v>
      </c>
      <c r="D34" s="9" t="s">
        <v>3</v>
      </c>
      <c r="E34" s="8" t="s">
        <v>4</v>
      </c>
      <c r="F34" s="8" t="s">
        <v>5</v>
      </c>
    </row>
    <row r="35" spans="1:6" ht="22.5" customHeight="1" x14ac:dyDescent="0.25">
      <c r="A35" s="9"/>
      <c r="B35" s="9"/>
      <c r="C35" s="9"/>
      <c r="D35" s="9"/>
      <c r="E35" s="8"/>
      <c r="F35" s="8"/>
    </row>
    <row r="36" spans="1:6" x14ac:dyDescent="0.25">
      <c r="A36" s="3">
        <v>1</v>
      </c>
      <c r="B36" s="4">
        <v>240</v>
      </c>
      <c r="C36" s="4">
        <v>76</v>
      </c>
      <c r="D36" s="5">
        <v>316</v>
      </c>
      <c r="E36" s="2" t="s">
        <v>72</v>
      </c>
      <c r="F36" s="2" t="s">
        <v>71</v>
      </c>
    </row>
    <row r="37" spans="1:6" x14ac:dyDescent="0.25">
      <c r="A37" s="3">
        <v>2</v>
      </c>
      <c r="B37" s="4">
        <v>300</v>
      </c>
      <c r="C37" s="4">
        <v>76</v>
      </c>
      <c r="D37" s="5">
        <v>376</v>
      </c>
      <c r="E37" s="2" t="s">
        <v>74</v>
      </c>
      <c r="F37" s="2" t="s">
        <v>73</v>
      </c>
    </row>
  </sheetData>
  <mergeCells count="12">
    <mergeCell ref="A34:A35"/>
    <mergeCell ref="B34:B35"/>
    <mergeCell ref="D34:D35"/>
    <mergeCell ref="E34:E35"/>
    <mergeCell ref="F34:F35"/>
    <mergeCell ref="C34:C35"/>
    <mergeCell ref="F1:F2"/>
    <mergeCell ref="A1:A2"/>
    <mergeCell ref="B1:B2"/>
    <mergeCell ref="D1:D2"/>
    <mergeCell ref="C1:C2"/>
    <mergeCell ref="E1:E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6"/>
  <sheetViews>
    <sheetView workbookViewId="0">
      <selection activeCell="E21" sqref="E21"/>
    </sheetView>
  </sheetViews>
  <sheetFormatPr defaultRowHeight="15" x14ac:dyDescent="0.25"/>
  <cols>
    <col min="1" max="1" width="15.140625" bestFit="1" customWidth="1"/>
    <col min="2" max="2" width="21.140625" bestFit="1" customWidth="1"/>
    <col min="3" max="3" width="17.140625" customWidth="1"/>
    <col min="4" max="4" width="17" customWidth="1"/>
    <col min="5" max="5" width="15" customWidth="1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B2" t="s">
        <v>2</v>
      </c>
    </row>
    <row r="3" spans="1:5" x14ac:dyDescent="0.25">
      <c r="B3" s="1">
        <v>119.71444410719999</v>
      </c>
      <c r="C3" s="1">
        <v>-3.9759734795999999</v>
      </c>
      <c r="D3" t="str">
        <f>Convert_Degree(B3)</f>
        <v xml:space="preserve"> 119° 42' 52,00"</v>
      </c>
      <c r="E3" t="str">
        <f>Convert_Degree(C3)</f>
        <v xml:space="preserve"> 3° 58' 33,50"</v>
      </c>
    </row>
    <row r="4" spans="1:5" x14ac:dyDescent="0.25">
      <c r="B4" s="1">
        <v>119.7144436016</v>
      </c>
      <c r="C4" s="1">
        <v>-3.9785670301999998</v>
      </c>
      <c r="D4" t="str">
        <f t="shared" ref="D4:D32" si="0">Convert_Degree(B4)</f>
        <v xml:space="preserve"> 119° 42' 52,00"</v>
      </c>
      <c r="E4" t="str">
        <f t="shared" ref="E4:E32" si="1">Convert_Degree(C4)</f>
        <v xml:space="preserve"> 3° 58' 42,84"</v>
      </c>
    </row>
    <row r="5" spans="1:5" x14ac:dyDescent="0.25">
      <c r="B5" s="1">
        <v>119.7134967838</v>
      </c>
      <c r="C5" s="1">
        <v>-3.9807028335000001</v>
      </c>
      <c r="D5" t="str">
        <f t="shared" si="0"/>
        <v xml:space="preserve"> 119° 42' 48,59"</v>
      </c>
      <c r="E5" t="str">
        <f t="shared" si="1"/>
        <v xml:space="preserve"> 3° 58' 50,53"</v>
      </c>
    </row>
    <row r="6" spans="1:5" x14ac:dyDescent="0.25">
      <c r="B6" s="1">
        <v>119.7125776991</v>
      </c>
      <c r="C6" s="1">
        <v>-3.9830644666000001</v>
      </c>
      <c r="D6" t="str">
        <f t="shared" si="0"/>
        <v xml:space="preserve"> 119° 42' 45,28"</v>
      </c>
      <c r="E6" t="str">
        <f t="shared" si="1"/>
        <v xml:space="preserve"> 3° 58' 59,03"</v>
      </c>
    </row>
    <row r="7" spans="1:5" x14ac:dyDescent="0.25">
      <c r="B7" s="1">
        <v>119.7116489039</v>
      </c>
      <c r="C7" s="1">
        <v>-3.9852092516000002</v>
      </c>
      <c r="D7" t="str">
        <f t="shared" si="0"/>
        <v xml:space="preserve"> 119° 42' 41,94"</v>
      </c>
      <c r="E7" t="str">
        <f t="shared" si="1"/>
        <v xml:space="preserve"> 3° 59' 6,75"</v>
      </c>
    </row>
    <row r="8" spans="1:5" x14ac:dyDescent="0.25">
      <c r="B8" s="1">
        <v>119.7114938977</v>
      </c>
      <c r="C8" s="1">
        <v>-3.9873334063999999</v>
      </c>
      <c r="D8" t="str">
        <f t="shared" si="0"/>
        <v xml:space="preserve"> 119° 42' 41,38"</v>
      </c>
      <c r="E8" t="str">
        <f t="shared" si="1"/>
        <v xml:space="preserve"> 3° 59' 14,40"</v>
      </c>
    </row>
    <row r="9" spans="1:5" x14ac:dyDescent="0.25">
      <c r="B9" s="1">
        <v>119.7109795562</v>
      </c>
      <c r="C9" s="1">
        <v>-3.9896394862000002</v>
      </c>
      <c r="D9" t="str">
        <f t="shared" si="0"/>
        <v xml:space="preserve"> 119° 42' 39,53"</v>
      </c>
      <c r="E9" t="str">
        <f t="shared" si="1"/>
        <v xml:space="preserve"> 3° 59' 22,70"</v>
      </c>
    </row>
    <row r="10" spans="1:5" x14ac:dyDescent="0.25">
      <c r="B10" s="1">
        <v>119.7104642076</v>
      </c>
      <c r="C10" s="1">
        <v>-3.9916383200999999</v>
      </c>
      <c r="D10" t="str">
        <f t="shared" si="0"/>
        <v xml:space="preserve"> 119° 42' 37,67"</v>
      </c>
      <c r="E10" t="str">
        <f t="shared" si="1"/>
        <v xml:space="preserve"> 3° 59' 29,90"</v>
      </c>
    </row>
    <row r="11" spans="1:5" x14ac:dyDescent="0.25">
      <c r="B11" s="1">
        <v>119.7104802953</v>
      </c>
      <c r="C11" s="1">
        <v>-3.9937980578999999</v>
      </c>
      <c r="D11" t="str">
        <f t="shared" si="0"/>
        <v xml:space="preserve"> 119° 42' 37,73"</v>
      </c>
      <c r="E11" t="str">
        <f t="shared" si="1"/>
        <v xml:space="preserve"> 3° 59' 37,67"</v>
      </c>
    </row>
    <row r="12" spans="1:5" x14ac:dyDescent="0.25">
      <c r="B12" s="1">
        <v>119.710316390082</v>
      </c>
      <c r="C12" s="1">
        <v>-3.99594935457029</v>
      </c>
      <c r="D12" t="str">
        <f t="shared" si="0"/>
        <v xml:space="preserve"> 119° 42' 37,14"</v>
      </c>
      <c r="E12" t="str">
        <f t="shared" si="1"/>
        <v xml:space="preserve"> 3° 59' 45,42"</v>
      </c>
    </row>
    <row r="13" spans="1:5" x14ac:dyDescent="0.25">
      <c r="B13" s="1">
        <v>119.7092165073</v>
      </c>
      <c r="C13" s="1">
        <v>-3.9980585706</v>
      </c>
      <c r="D13" t="str">
        <f t="shared" si="0"/>
        <v xml:space="preserve"> 119° 42' 33,18"</v>
      </c>
      <c r="E13" t="str">
        <f t="shared" si="1"/>
        <v xml:space="preserve"> 3° 59' 53,01"</v>
      </c>
    </row>
    <row r="14" spans="1:5" x14ac:dyDescent="0.25">
      <c r="B14" s="1">
        <v>119.70782077219999</v>
      </c>
      <c r="C14" s="1">
        <v>-4.0005031304000003</v>
      </c>
      <c r="D14" t="str">
        <f t="shared" si="0"/>
        <v xml:space="preserve"> 119° 42' 28,15"</v>
      </c>
      <c r="E14" t="str">
        <f t="shared" si="1"/>
        <v xml:space="preserve"> 4° 0' 1,81"</v>
      </c>
    </row>
    <row r="15" spans="1:5" x14ac:dyDescent="0.25">
      <c r="B15" s="1">
        <v>119.7076747986</v>
      </c>
      <c r="C15" s="1">
        <v>-3.9779206406999998</v>
      </c>
      <c r="D15" t="str">
        <f t="shared" si="0"/>
        <v xml:space="preserve"> 119° 42' 27,63"</v>
      </c>
      <c r="E15" t="str">
        <f t="shared" si="1"/>
        <v xml:space="preserve"> 3° 58' 40,51"</v>
      </c>
    </row>
    <row r="16" spans="1:5" x14ac:dyDescent="0.25">
      <c r="B16" s="1">
        <v>119.7065564307</v>
      </c>
      <c r="C16" s="1">
        <v>-3.9798853136000001</v>
      </c>
      <c r="D16" t="str">
        <f t="shared" si="0"/>
        <v xml:space="preserve"> 119° 42' 23,60"</v>
      </c>
      <c r="E16" t="str">
        <f t="shared" si="1"/>
        <v xml:space="preserve"> 3° 58' 47,59"</v>
      </c>
    </row>
    <row r="17" spans="2:5" x14ac:dyDescent="0.25">
      <c r="B17" s="1">
        <v>119.7059961571</v>
      </c>
      <c r="C17" s="1">
        <v>-3.9819114068000001</v>
      </c>
      <c r="D17" t="str">
        <f t="shared" si="0"/>
        <v xml:space="preserve"> 119° 42' 21,59"</v>
      </c>
      <c r="E17" t="str">
        <f t="shared" si="1"/>
        <v xml:space="preserve"> 3° 58' 54,88"</v>
      </c>
    </row>
    <row r="18" spans="2:5" x14ac:dyDescent="0.25">
      <c r="B18" s="1">
        <v>119.7053010871</v>
      </c>
      <c r="C18" s="1">
        <v>-3.9839921667999998</v>
      </c>
      <c r="D18" t="str">
        <f t="shared" si="0"/>
        <v xml:space="preserve"> 119° 42' 19,08"</v>
      </c>
      <c r="E18" t="str">
        <f t="shared" si="1"/>
        <v xml:space="preserve"> 3° 59' 2,37"</v>
      </c>
    </row>
    <row r="19" spans="2:5" x14ac:dyDescent="0.25">
      <c r="B19" s="1">
        <v>119.7053350555</v>
      </c>
      <c r="C19" s="1">
        <v>-3.9861247448000001</v>
      </c>
      <c r="D19" t="str">
        <f t="shared" si="0"/>
        <v xml:space="preserve"> 119° 42' 19,21"</v>
      </c>
      <c r="E19" t="str">
        <f t="shared" si="1"/>
        <v xml:space="preserve"> 3° 59' 10,05"</v>
      </c>
    </row>
    <row r="20" spans="2:5" x14ac:dyDescent="0.25">
      <c r="B20" s="1">
        <v>119.7047928402</v>
      </c>
      <c r="C20" s="1">
        <v>-3.9881688559000001</v>
      </c>
      <c r="D20" t="str">
        <f t="shared" si="0"/>
        <v xml:space="preserve"> 119° 42' 17,25"</v>
      </c>
      <c r="E20" t="str">
        <f t="shared" si="1"/>
        <v xml:space="preserve"> 3° 59' 17,41"</v>
      </c>
    </row>
    <row r="21" spans="2:5" x14ac:dyDescent="0.25">
      <c r="B21" s="1">
        <v>119.70159956969999</v>
      </c>
      <c r="C21" s="1">
        <v>-3.9912790262</v>
      </c>
      <c r="D21" t="str">
        <f t="shared" si="0"/>
        <v xml:space="preserve"> 119° 42' 5,76"</v>
      </c>
      <c r="E21" t="str">
        <f t="shared" si="1"/>
        <v xml:space="preserve"> 3° 59' 28,60"</v>
      </c>
    </row>
    <row r="22" spans="2:5" x14ac:dyDescent="0.25">
      <c r="B22" s="1">
        <v>119.6993952739</v>
      </c>
      <c r="C22" s="1">
        <v>-3.9941329065</v>
      </c>
      <c r="D22" t="str">
        <f t="shared" si="0"/>
        <v xml:space="preserve"> 119° 41' 57,82"</v>
      </c>
      <c r="E22" t="str">
        <f t="shared" si="1"/>
        <v xml:space="preserve"> 3° 59' 38,88"</v>
      </c>
    </row>
    <row r="23" spans="2:5" x14ac:dyDescent="0.25">
      <c r="B23" s="1">
        <v>119.6988529015</v>
      </c>
      <c r="C23" s="1">
        <v>-3.9961318431000001</v>
      </c>
      <c r="D23" t="str">
        <f t="shared" si="0"/>
        <v xml:space="preserve"> 119° 41' 55,87"</v>
      </c>
      <c r="E23" t="str">
        <f t="shared" si="1"/>
        <v xml:space="preserve"> 3° 59' 46,07"</v>
      </c>
    </row>
    <row r="24" spans="2:5" x14ac:dyDescent="0.25">
      <c r="B24" s="1">
        <v>119.6985358166</v>
      </c>
      <c r="C24" s="1">
        <v>-3.9982294431000001</v>
      </c>
      <c r="D24" t="str">
        <f t="shared" si="0"/>
        <v xml:space="preserve"> 119° 41' 54,73"</v>
      </c>
      <c r="E24" t="str">
        <f t="shared" si="1"/>
        <v xml:space="preserve"> 3° 59' 53,63"</v>
      </c>
    </row>
    <row r="25" spans="2:5" x14ac:dyDescent="0.25">
      <c r="B25" s="1">
        <v>119.7090605435</v>
      </c>
      <c r="C25" s="1">
        <v>-3.9696564418000002</v>
      </c>
      <c r="D25" t="str">
        <f t="shared" si="0"/>
        <v xml:space="preserve"> 119° 42' 32,62"</v>
      </c>
      <c r="E25" t="str">
        <f t="shared" si="1"/>
        <v xml:space="preserve"> 3° 58' 10,76"</v>
      </c>
    </row>
    <row r="26" spans="2:5" x14ac:dyDescent="0.25">
      <c r="B26" s="1">
        <v>119.71096085160001</v>
      </c>
      <c r="C26" s="1">
        <v>-3.9674181024999999</v>
      </c>
      <c r="D26" t="str">
        <f t="shared" si="0"/>
        <v xml:space="preserve"> 119° 42' 39,46"</v>
      </c>
      <c r="E26" t="str">
        <f t="shared" si="1"/>
        <v xml:space="preserve"> 3° 58' 2,71"</v>
      </c>
    </row>
    <row r="27" spans="2:5" x14ac:dyDescent="0.25">
      <c r="B27" s="1">
        <v>119.712061507013</v>
      </c>
      <c r="C27" s="1">
        <v>-3.9655438673272001</v>
      </c>
      <c r="D27" t="str">
        <f t="shared" si="0"/>
        <v xml:space="preserve"> 119° 42' 43,42"</v>
      </c>
      <c r="E27" t="str">
        <f t="shared" si="1"/>
        <v xml:space="preserve"> 3° 57' 55,96"</v>
      </c>
    </row>
    <row r="28" spans="2:5" x14ac:dyDescent="0.25">
      <c r="B28" s="1">
        <v>119.71408750677899</v>
      </c>
      <c r="C28" s="1">
        <v>-3.96322378849016</v>
      </c>
      <c r="D28" t="str">
        <f t="shared" si="0"/>
        <v xml:space="preserve"> 119° 42' 50,72"</v>
      </c>
      <c r="E28" t="str">
        <f t="shared" si="1"/>
        <v xml:space="preserve"> 3° 57' 47,61"</v>
      </c>
    </row>
    <row r="29" spans="2:5" x14ac:dyDescent="0.25">
      <c r="B29" s="1">
        <v>119.7145577074</v>
      </c>
      <c r="C29" s="1">
        <v>-3.9611708977000002</v>
      </c>
      <c r="D29" t="str">
        <f t="shared" si="0"/>
        <v xml:space="preserve"> 119° 42' 52,41"</v>
      </c>
      <c r="E29" t="str">
        <f t="shared" si="1"/>
        <v xml:space="preserve"> 3° 57' 40,22"</v>
      </c>
    </row>
    <row r="30" spans="2:5" x14ac:dyDescent="0.25">
      <c r="B30" s="1">
        <v>119.7154239649</v>
      </c>
      <c r="C30" s="1">
        <v>-3.9591618890000002</v>
      </c>
      <c r="D30" t="str">
        <f t="shared" si="0"/>
        <v xml:space="preserve"> 119° 42' 55,53"</v>
      </c>
      <c r="E30" t="str">
        <f t="shared" si="1"/>
        <v xml:space="preserve"> 3° 57' 32,98"</v>
      </c>
    </row>
    <row r="31" spans="2:5" x14ac:dyDescent="0.25">
      <c r="B31" s="1">
        <v>119.7167771677</v>
      </c>
      <c r="C31" s="1">
        <v>-3.9574766034</v>
      </c>
      <c r="D31" t="str">
        <f t="shared" si="0"/>
        <v xml:space="preserve"> 119° 43' 0,40"</v>
      </c>
      <c r="E31" t="str">
        <f t="shared" si="1"/>
        <v xml:space="preserve"> 3° 57' 26,92"</v>
      </c>
    </row>
    <row r="32" spans="2:5" x14ac:dyDescent="0.25">
      <c r="B32" s="1">
        <v>119.7202879341</v>
      </c>
      <c r="C32" s="1">
        <v>-3.955196833</v>
      </c>
      <c r="D32" t="str">
        <f t="shared" si="0"/>
        <v xml:space="preserve"> 119° 43' 13,04"</v>
      </c>
      <c r="E32" t="str">
        <f t="shared" si="1"/>
        <v xml:space="preserve"> 3° 57' 18,71"</v>
      </c>
    </row>
    <row r="34" spans="2:5" x14ac:dyDescent="0.25">
      <c r="B34" t="s">
        <v>6</v>
      </c>
    </row>
    <row r="35" spans="2:5" x14ac:dyDescent="0.25">
      <c r="B35" s="1">
        <v>119.70656669098599</v>
      </c>
      <c r="C35" s="1">
        <v>-4.0022423526028001</v>
      </c>
      <c r="D35" t="str">
        <f>Convert_Degree(B35)</f>
        <v xml:space="preserve"> 119° 42' 23,64"</v>
      </c>
      <c r="E35" t="str">
        <f>Convert_Degree(C35)</f>
        <v xml:space="preserve"> 4° 0' 8,07"</v>
      </c>
    </row>
    <row r="36" spans="2:5" x14ac:dyDescent="0.25">
      <c r="B36" s="1">
        <v>119.718546389465</v>
      </c>
      <c r="C36" s="1">
        <v>-3.9564405952946</v>
      </c>
      <c r="D36" t="str">
        <f>Convert_Degree(B36)</f>
        <v xml:space="preserve"> 119° 43' 6,77"</v>
      </c>
      <c r="E36" t="str">
        <f>Convert_Degree(C36)</f>
        <v xml:space="preserve"> 3° 57' 23,19"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3"/>
  <sheetViews>
    <sheetView tabSelected="1" workbookViewId="0">
      <selection activeCell="H22" sqref="H22"/>
    </sheetView>
  </sheetViews>
  <sheetFormatPr defaultRowHeight="15" x14ac:dyDescent="0.25"/>
  <cols>
    <col min="2" max="2" width="11.5703125" bestFit="1" customWidth="1"/>
    <col min="4" max="4" width="12.5703125" customWidth="1"/>
    <col min="5" max="5" width="28.140625" customWidth="1"/>
  </cols>
  <sheetData>
    <row r="1" spans="1:6" x14ac:dyDescent="0.25">
      <c r="A1" s="6" t="s">
        <v>78</v>
      </c>
    </row>
    <row r="2" spans="1:6" x14ac:dyDescent="0.25">
      <c r="A2" s="6" t="s">
        <v>7</v>
      </c>
      <c r="B2" t="s">
        <v>80</v>
      </c>
      <c r="C2" t="s">
        <v>81</v>
      </c>
      <c r="D2" t="s">
        <v>82</v>
      </c>
    </row>
    <row r="3" spans="1:6" x14ac:dyDescent="0.25">
      <c r="A3" s="7" t="s">
        <v>83</v>
      </c>
      <c r="B3" t="s">
        <v>79</v>
      </c>
      <c r="C3" t="s">
        <v>99</v>
      </c>
      <c r="D3" t="s">
        <v>92</v>
      </c>
      <c r="E3">
        <f>Convert_Decimal(C3)</f>
        <v>4.1519444444444442</v>
      </c>
      <c r="F3">
        <f>Convert_Decimal(D3)</f>
        <v>119.98277777777778</v>
      </c>
    </row>
    <row r="4" spans="1:6" x14ac:dyDescent="0.25">
      <c r="A4" s="7" t="s">
        <v>86</v>
      </c>
      <c r="B4" t="s">
        <v>84</v>
      </c>
      <c r="C4" t="s">
        <v>93</v>
      </c>
      <c r="D4" t="s">
        <v>94</v>
      </c>
      <c r="E4">
        <f t="shared" ref="E4:E7" si="0">Convert_Decimal(C4)</f>
        <v>4.2255555555555553</v>
      </c>
      <c r="F4">
        <f t="shared" ref="F4:F16" si="1">Convert_Decimal(D4)</f>
        <v>120.14888888888889</v>
      </c>
    </row>
    <row r="5" spans="1:6" x14ac:dyDescent="0.25">
      <c r="A5" s="7" t="s">
        <v>87</v>
      </c>
      <c r="B5" t="s">
        <v>85</v>
      </c>
      <c r="C5" t="s">
        <v>95</v>
      </c>
      <c r="D5" t="s">
        <v>96</v>
      </c>
      <c r="E5">
        <f t="shared" si="0"/>
        <v>4.2191666666666663</v>
      </c>
      <c r="F5">
        <f t="shared" si="1"/>
        <v>120.35194444444444</v>
      </c>
    </row>
    <row r="6" spans="1:6" x14ac:dyDescent="0.25">
      <c r="A6" s="7" t="s">
        <v>91</v>
      </c>
      <c r="B6" t="s">
        <v>88</v>
      </c>
      <c r="C6" t="s">
        <v>98</v>
      </c>
      <c r="D6" t="s">
        <v>97</v>
      </c>
      <c r="E6">
        <f t="shared" si="0"/>
        <v>4.0880555555555551</v>
      </c>
      <c r="F6">
        <f t="shared" si="1"/>
        <v>120.3</v>
      </c>
    </row>
    <row r="7" spans="1:6" x14ac:dyDescent="0.25">
      <c r="A7" s="7" t="s">
        <v>90</v>
      </c>
      <c r="B7" t="s">
        <v>89</v>
      </c>
      <c r="C7" t="s">
        <v>100</v>
      </c>
      <c r="D7" t="s">
        <v>101</v>
      </c>
      <c r="E7">
        <f t="shared" si="0"/>
        <v>4.0166666666666666</v>
      </c>
      <c r="F7">
        <f t="shared" si="1"/>
        <v>120.04166666666667</v>
      </c>
    </row>
    <row r="8" spans="1:6" x14ac:dyDescent="0.25">
      <c r="A8" s="7" t="s">
        <v>102</v>
      </c>
      <c r="B8" t="s">
        <v>103</v>
      </c>
      <c r="C8" t="s">
        <v>106</v>
      </c>
      <c r="D8" t="s">
        <v>108</v>
      </c>
      <c r="E8">
        <f>Convert_Decimal(C8)</f>
        <v>4.1583333333333332</v>
      </c>
      <c r="F8">
        <f>Convert_Decimal(D8)</f>
        <v>120.03333333333333</v>
      </c>
    </row>
    <row r="9" spans="1:6" x14ac:dyDescent="0.25">
      <c r="A9" s="7" t="s">
        <v>105</v>
      </c>
      <c r="B9" t="s">
        <v>104</v>
      </c>
      <c r="C9" t="s">
        <v>107</v>
      </c>
      <c r="D9" t="s">
        <v>109</v>
      </c>
      <c r="E9">
        <f>Convert_Decimal(C9)</f>
        <v>3.9783333333333335</v>
      </c>
      <c r="F9">
        <f t="shared" si="1"/>
        <v>119.66638888888889</v>
      </c>
    </row>
    <row r="10" spans="1:6" x14ac:dyDescent="0.25">
      <c r="A10" s="7" t="s">
        <v>110</v>
      </c>
      <c r="B10" t="s">
        <v>111</v>
      </c>
      <c r="C10" t="s">
        <v>112</v>
      </c>
      <c r="D10" t="s">
        <v>116</v>
      </c>
      <c r="E10">
        <f t="shared" ref="E10:E16" si="2">Convert_Decimal(C10)</f>
        <v>4.0286111111111111</v>
      </c>
      <c r="F10">
        <f t="shared" si="1"/>
        <v>119.84055555555555</v>
      </c>
    </row>
    <row r="11" spans="1:6" x14ac:dyDescent="0.25">
      <c r="A11" s="7" t="s">
        <v>117</v>
      </c>
      <c r="B11" t="s">
        <v>114</v>
      </c>
      <c r="C11" t="s">
        <v>115</v>
      </c>
      <c r="D11" t="s">
        <v>113</v>
      </c>
      <c r="E11">
        <f t="shared" si="2"/>
        <v>3.9449999999999998</v>
      </c>
      <c r="F11">
        <f t="shared" si="1"/>
        <v>119.64972222222222</v>
      </c>
    </row>
    <row r="12" spans="1:6" x14ac:dyDescent="0.25">
      <c r="A12" s="7" t="s">
        <v>122</v>
      </c>
      <c r="B12" t="s">
        <v>118</v>
      </c>
      <c r="C12" t="s">
        <v>127</v>
      </c>
      <c r="D12" t="s">
        <v>131</v>
      </c>
      <c r="E12">
        <f t="shared" si="2"/>
        <v>4.3366666666666669</v>
      </c>
      <c r="F12">
        <f t="shared" si="1"/>
        <v>119.98</v>
      </c>
    </row>
    <row r="13" spans="1:6" x14ac:dyDescent="0.25">
      <c r="A13" s="7" t="s">
        <v>123</v>
      </c>
      <c r="B13" t="s">
        <v>119</v>
      </c>
      <c r="C13" t="s">
        <v>106</v>
      </c>
      <c r="D13" t="s">
        <v>132</v>
      </c>
      <c r="E13">
        <f t="shared" si="2"/>
        <v>4.1583333333333332</v>
      </c>
      <c r="F13">
        <f t="shared" si="1"/>
        <v>119.81333333333333</v>
      </c>
    </row>
    <row r="14" spans="1:6" x14ac:dyDescent="0.25">
      <c r="A14" s="7" t="s">
        <v>124</v>
      </c>
      <c r="B14" t="s">
        <v>120</v>
      </c>
      <c r="C14" t="s">
        <v>128</v>
      </c>
      <c r="D14" t="s">
        <v>133</v>
      </c>
      <c r="E14">
        <f t="shared" si="2"/>
        <v>4.043333333333333</v>
      </c>
      <c r="F14">
        <f t="shared" si="1"/>
        <v>119.59166666666667</v>
      </c>
    </row>
    <row r="15" spans="1:6" x14ac:dyDescent="0.25">
      <c r="A15" s="7" t="s">
        <v>125</v>
      </c>
      <c r="B15" t="s">
        <v>121</v>
      </c>
      <c r="C15" t="s">
        <v>129</v>
      </c>
      <c r="D15" t="s">
        <v>134</v>
      </c>
      <c r="E15">
        <f t="shared" si="2"/>
        <v>4.2069444444444448</v>
      </c>
      <c r="F15">
        <f t="shared" si="1"/>
        <v>119.62</v>
      </c>
    </row>
    <row r="16" spans="1:6" x14ac:dyDescent="0.25">
      <c r="A16" s="7" t="s">
        <v>126</v>
      </c>
      <c r="B16" t="s">
        <v>114</v>
      </c>
      <c r="C16" t="s">
        <v>130</v>
      </c>
      <c r="D16" t="s">
        <v>135</v>
      </c>
      <c r="E16">
        <f t="shared" si="2"/>
        <v>4.4666666666666668</v>
      </c>
      <c r="F16">
        <f t="shared" si="1"/>
        <v>119.60833333333333</v>
      </c>
    </row>
    <row r="19" spans="1:6" x14ac:dyDescent="0.25">
      <c r="A19" s="7" t="s">
        <v>136</v>
      </c>
    </row>
    <row r="20" spans="1:6" x14ac:dyDescent="0.25">
      <c r="B20" t="s">
        <v>139</v>
      </c>
      <c r="C20" t="s">
        <v>143</v>
      </c>
      <c r="D20" t="s">
        <v>137</v>
      </c>
      <c r="E20">
        <f>Convert_Decimal(C20)</f>
        <v>3.9833333333333334</v>
      </c>
      <c r="F20">
        <f>Convert_Decimal(D20)</f>
        <v>119.7</v>
      </c>
    </row>
    <row r="21" spans="1:6" x14ac:dyDescent="0.25">
      <c r="B21" t="s">
        <v>140</v>
      </c>
      <c r="C21" t="s">
        <v>143</v>
      </c>
      <c r="D21" t="s">
        <v>138</v>
      </c>
      <c r="E21">
        <f t="shared" ref="E21:E23" si="3">Convert_Decimal(C21)</f>
        <v>3.9833333333333334</v>
      </c>
      <c r="F21">
        <f t="shared" ref="F21:F23" si="4">Convert_Decimal(D21)</f>
        <v>119.71666666666667</v>
      </c>
    </row>
    <row r="22" spans="1:6" x14ac:dyDescent="0.25">
      <c r="B22" t="s">
        <v>141</v>
      </c>
      <c r="C22" t="s">
        <v>144</v>
      </c>
      <c r="D22" t="s">
        <v>137</v>
      </c>
      <c r="E22">
        <f t="shared" si="3"/>
        <v>3.9916666666666667</v>
      </c>
      <c r="F22">
        <f t="shared" si="4"/>
        <v>119.7</v>
      </c>
    </row>
    <row r="23" spans="1:6" x14ac:dyDescent="0.25">
      <c r="B23" t="s">
        <v>142</v>
      </c>
      <c r="C23" t="s">
        <v>144</v>
      </c>
      <c r="D23" t="s">
        <v>138</v>
      </c>
      <c r="E23">
        <f t="shared" si="3"/>
        <v>3.9916666666666667</v>
      </c>
      <c r="F23">
        <f t="shared" si="4"/>
        <v>119.71666666666667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kharisma</dc:creator>
  <cp:lastModifiedBy>ryan kharisma</cp:lastModifiedBy>
  <dcterms:created xsi:type="dcterms:W3CDTF">2016-04-15T07:13:40Z</dcterms:created>
  <dcterms:modified xsi:type="dcterms:W3CDTF">2016-04-26T04:36:26Z</dcterms:modified>
</cp:coreProperties>
</file>